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ompanhamen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<sst xmlns="http://schemas.openxmlformats.org/spreadsheetml/2006/main" count="25" uniqueCount="25">
  <si>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FAÇAAMIGOS CIRCUITO  |  ACOMPANHAMENTO DIÁRIO DE METAS</t>
  </si>
  <si>
    <t xml:space="preserve">Mês de referência (1º dia):</t>
  </si>
  <si>
    <t xml:space="preserve">Ticket médio:</t>
  </si>
  <si>
    <t xml:space="preserve">METAS DO MÊS:</t>
  </si>
  <si>
    <t xml:space="preserve">🔴 Piso 824</t>
  </si>
  <si>
    <t xml:space="preserve">🟡 Meta 1.500</t>
  </si>
  <si>
    <t xml:space="preserve">🟢 Super 1.950</t>
  </si>
  <si>
    <t xml:space="preserve">Receita-meta:</t>
  </si>
  <si>
    <t xml:space="preserve">Dia</t>
  </si>
  <si>
    <t xml:space="preserve">Data</t>
  </si>
  <si>
    <t xml:space="preserve">Sem.</t>
  </si>
  <si>
    <t xml:space="preserve">Meta</t>
  </si>
  <si>
    <t xml:space="preserve">Realizado</t>
  </si>
  <si>
    <t xml:space="preserve">% Meta</t>
  </si>
  <si>
    <t xml:space="preserve">Farol</t>
  </si>
  <si>
    <t xml:space="preserve">Receita</t>
  </si>
  <si>
    <t xml:space="preserve">Observações</t>
  </si>
  <si>
    <t xml:space="preserve">TOTAL</t>
  </si>
  <si>
    <t xml:space="preserve">Acumulado do mês</t>
  </si>
  <si>
    <t xml:space="preserve">COMO USAR:</t>
  </si>
  <si>
    <t xml:space="preserve">1) Preencha o 1º dia do mês (D2) e o ticket médio (G2). As datas, dias da semana e metas preenchem sozinhos.</t>
  </si>
  <si>
    <t xml:space="preserve">2) Ao fim de cada dia, registre na coluna 'Realizado' o total de locações. O farol e a receita aparecem automaticamente.</t>
  </si>
  <si>
    <t xml:space="preserve">3) Metas por dia: Seg–Qui = 35 | Sexta = 65 | Sábado = 80 | Domingo = 70. Foco no pico 16h–21h30 (sex/sáb/dom).</t>
  </si>
  <si>
    <t xml:space="preserve">4) Verde = bateu a meta | Amarelo = chegou a 80%+ | Vermelho = abaixo de 80%. Meta do mês: 1.500 locações (piso 824).</t>
  </si>
  <si>
    <t xml:space="preserve">5) Tabela oficial: Pelúcia R$25/10min | Carro-Jipe R$25/15min | Excedente R$3,00/min (ambos). Incentive 'mais um pouco' — o excedente é decisivo para bater o ticket-meta de R$27.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</si>
</sst>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&quot;R$ &quot;#,##0"/>
    <numFmt numFmtId="167" formatCode="dd/mm"/>
    <numFmt numFmtId="168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b val="true"/>
      <sz val="11"/>
      <color rgb="FF9C6500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2344F"/>
        <bgColor rgb="FF333333"/>
      </patternFill>
    </fill>
    <fill>
      <patternFill patternType="solid">
        <fgColor rgb="FFFFF6CC"/>
        <bgColor rgb="FFFFEB9C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6CC"/>
      </patternFill>
    </fill>
    <fill>
      <patternFill patternType="solid">
        <fgColor rgb="FFC6EFCE"/>
        <bgColor rgb="FFCCFFFF"/>
      </patternFill>
    </fill>
    <fill>
      <patternFill patternType="solid">
        <fgColor rgb="FFEAF3FA"/>
        <bgColor rgb="FFFFFFFF"/>
      </patternFill>
    </fill>
    <fill>
      <patternFill patternType="solid">
        <fgColor rgb="FF1F6FB2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BBBBB"/>
      <rgbColor rgb="FF808080"/>
      <rgbColor rgb="FF9999FF"/>
      <rgbColor rgb="FF993366"/>
      <rgbColor rgb="FFFFF6CC"/>
      <rgbColor rgb="FFEAF3FA"/>
      <rgbColor rgb="FF660066"/>
      <rgbColor rgb="FFFF8080"/>
      <rgbColor rgb="FF1F6FB2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2344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8" min="7" style="0" width="13"/>
    <col collapsed="false" customWidth="true" hidden="false" outlineLevel="0" max="9" min="9" style="0" width="2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3" t="n">
        <v>46204</v>
      </c>
      <c r="E2" s="4" t="s">
        <v>2</v>
      </c>
      <c r="F2" s="4"/>
      <c r="G2" s="5" t="n">
        <v>27</v>
      </c>
    </row>
    <row r="3" customFormat="false" ht="18" hidden="false" customHeight="true" outlineLevel="0" collapsed="false">
      <c r="A3" s="2" t="s">
        <v>3</v>
      </c>
      <c r="B3" s="2"/>
      <c r="C3" s="6" t="s">
        <v>4</v>
      </c>
      <c r="D3" s="6"/>
      <c r="E3" s="7" t="s">
        <v>5</v>
      </c>
      <c r="F3" s="8" t="s">
        <v>6</v>
      </c>
      <c r="G3" s="8"/>
      <c r="H3" s="9" t="s">
        <v>7</v>
      </c>
      <c r="I3" s="10" t="n">
        <f aca="false">G2*1500</f>
        <v>40500</v>
      </c>
    </row>
    <row r="5" customFormat="false" ht="15" hidden="false" customHeight="false" outlineLevel="0" collapsed="false">
      <c r="A5" s="11" t="s">
        <v>8</v>
      </c>
      <c r="B5" s="11" t="s">
        <v>9</v>
      </c>
      <c r="C5" s="11" t="s">
        <v>10</v>
      </c>
      <c r="D5" s="11" t="s">
        <v>11</v>
      </c>
      <c r="E5" s="11" t="s">
        <v>12</v>
      </c>
      <c r="F5" s="11" t="s">
        <v>13</v>
      </c>
      <c r="G5" s="11" t="s">
        <v>14</v>
      </c>
      <c r="H5" s="11" t="s">
        <v>15</v>
      </c>
      <c r="I5" s="11" t="s">
        <v>16</v>
      </c>
    </row>
    <row r="6" customFormat="false" ht="15" hidden="false" customHeight="false" outlineLevel="0" collapsed="false">
      <c r="A6" s="12" t="n">
        <v>1</v>
      </c>
      <c r="B6" s="13" t="n">
        <f aca="false">$D$2+0</f>
        <v>46204</v>
      </c>
      <c r="C6" s="12" t="str">
        <f aca="false">IF(MONTH(B6)&lt;&gt;MONTH($D$2),"",CHOOSE(WEEKDAY(B6,2),"Seg","Ter","Qua","Qui","Sex","Sáb","Dom"))</f>
        <v>Qua</v>
      </c>
      <c r="D6" s="12" t="n">
        <f aca="false">IF(C6="","",IF(WEEKDAY(B6,2)&lt;=4,35,IF(WEEKDAY(B6,2)=5,65,IF(WEEKDAY(B6,2)=6,80,70))))</f>
        <v>35</v>
      </c>
      <c r="E6" s="14"/>
      <c r="F6" s="15" t="str">
        <f aca="false">IF(OR(E6="",D6=""),"",E6/D6)</f>
        <v/>
      </c>
      <c r="G6" s="12" t="str">
        <f aca="false">IF(OR(E6="",D6=""),"",IF(E6&gt;=D6,"🟢 Bateu",IF(E6&gt;=D6*0.8,"🟡 Quase","🔴 Abaixo")))</f>
        <v/>
      </c>
      <c r="H6" s="16" t="str">
        <f aca="false">IF(E6="","",E6*$G$2)</f>
        <v/>
      </c>
      <c r="I6" s="17"/>
    </row>
    <row r="7" customFormat="false" ht="15" hidden="false" customHeight="false" outlineLevel="0" collapsed="false">
      <c r="A7" s="12" t="n">
        <v>2</v>
      </c>
      <c r="B7" s="13" t="n">
        <f aca="false">$D$2+1</f>
        <v>46205</v>
      </c>
      <c r="C7" s="12" t="str">
        <f aca="false">IF(MONTH(B7)&lt;&gt;MONTH($D$2),"",CHOOSE(WEEKDAY(B7,2),"Seg","Ter","Qua","Qui","Sex","Sáb","Dom"))</f>
        <v>Qui</v>
      </c>
      <c r="D7" s="12" t="n">
        <f aca="false">IF(C7="","",IF(WEEKDAY(B7,2)&lt;=4,35,IF(WEEKDAY(B7,2)=5,65,IF(WEEKDAY(B7,2)=6,80,70))))</f>
        <v>35</v>
      </c>
      <c r="E7" s="14"/>
      <c r="F7" s="15" t="str">
        <f aca="false">IF(OR(E7="",D7=""),"",E7/D7)</f>
        <v/>
      </c>
      <c r="G7" s="12" t="str">
        <f aca="false">IF(OR(E7="",D7=""),"",IF(E7&gt;=D7,"🟢 Bateu",IF(E7&gt;=D7*0.8,"🟡 Quase","🔴 Abaixo")))</f>
        <v/>
      </c>
      <c r="H7" s="16" t="str">
        <f aca="false">IF(E7="","",E7*$G$2)</f>
        <v/>
      </c>
      <c r="I7" s="17"/>
    </row>
    <row r="8" customFormat="false" ht="15" hidden="false" customHeight="false" outlineLevel="0" collapsed="false">
      <c r="A8" s="12" t="n">
        <v>3</v>
      </c>
      <c r="B8" s="13" t="n">
        <f aca="false">$D$2+2</f>
        <v>46206</v>
      </c>
      <c r="C8" s="12" t="str">
        <f aca="false">IF(MONTH(B8)&lt;&gt;MONTH($D$2),"",CHOOSE(WEEKDAY(B8,2),"Seg","Ter","Qua","Qui","Sex","Sáb","Dom"))</f>
        <v>Sex</v>
      </c>
      <c r="D8" s="12" t="n">
        <f aca="false">IF(C8="","",IF(WEEKDAY(B8,2)&lt;=4,35,IF(WEEKDAY(B8,2)=5,65,IF(WEEKDAY(B8,2)=6,80,70))))</f>
        <v>65</v>
      </c>
      <c r="E8" s="14"/>
      <c r="F8" s="15" t="str">
        <f aca="false">IF(OR(E8="",D8=""),"",E8/D8)</f>
        <v/>
      </c>
      <c r="G8" s="12" t="str">
        <f aca="false">IF(OR(E8="",D8=""),"",IF(E8&gt;=D8,"🟢 Bateu",IF(E8&gt;=D8*0.8,"🟡 Quase","🔴 Abaixo")))</f>
        <v/>
      </c>
      <c r="H8" s="16" t="str">
        <f aca="false">IF(E8="","",E8*$G$2)</f>
        <v/>
      </c>
      <c r="I8" s="17"/>
    </row>
    <row r="9" customFormat="false" ht="15" hidden="false" customHeight="false" outlineLevel="0" collapsed="false">
      <c r="A9" s="12" t="n">
        <v>4</v>
      </c>
      <c r="B9" s="13" t="n">
        <f aca="false">$D$2+3</f>
        <v>46207</v>
      </c>
      <c r="C9" s="12" t="str">
        <f aca="false">IF(MONTH(B9)&lt;&gt;MONTH($D$2),"",CHOOSE(WEEKDAY(B9,2),"Seg","Ter","Qua","Qui","Sex","Sáb","Dom"))</f>
        <v>Sáb</v>
      </c>
      <c r="D9" s="12" t="n">
        <f aca="false">IF(C9="","",IF(WEEKDAY(B9,2)&lt;=4,35,IF(WEEKDAY(B9,2)=5,65,IF(WEEKDAY(B9,2)=6,80,70))))</f>
        <v>80</v>
      </c>
      <c r="E9" s="14"/>
      <c r="F9" s="15" t="str">
        <f aca="false">IF(OR(E9="",D9=""),"",E9/D9)</f>
        <v/>
      </c>
      <c r="G9" s="12" t="str">
        <f aca="false">IF(OR(E9="",D9=""),"",IF(E9&gt;=D9,"🟢 Bateu",IF(E9&gt;=D9*0.8,"🟡 Quase","🔴 Abaixo")))</f>
        <v/>
      </c>
      <c r="H9" s="16" t="str">
        <f aca="false">IF(E9="","",E9*$G$2)</f>
        <v/>
      </c>
      <c r="I9" s="17"/>
    </row>
    <row r="10" customFormat="false" ht="15" hidden="false" customHeight="false" outlineLevel="0" collapsed="false">
      <c r="A10" s="12" t="n">
        <v>5</v>
      </c>
      <c r="B10" s="13" t="n">
        <f aca="false">$D$2+4</f>
        <v>46208</v>
      </c>
      <c r="C10" s="12" t="str">
        <f aca="false">IF(MONTH(B10)&lt;&gt;MONTH($D$2),"",CHOOSE(WEEKDAY(B10,2),"Seg","Ter","Qua","Qui","Sex","Sáb","Dom"))</f>
        <v>Dom</v>
      </c>
      <c r="D10" s="12" t="n">
        <f aca="false">IF(C10="","",IF(WEEKDAY(B10,2)&lt;=4,35,IF(WEEKDAY(B10,2)=5,65,IF(WEEKDAY(B10,2)=6,80,70))))</f>
        <v>70</v>
      </c>
      <c r="E10" s="14"/>
      <c r="F10" s="15" t="str">
        <f aca="false">IF(OR(E10="",D10=""),"",E10/D10)</f>
        <v/>
      </c>
      <c r="G10" s="12" t="str">
        <f aca="false">IF(OR(E10="",D10=""),"",IF(E10&gt;=D10,"🟢 Bateu",IF(E10&gt;=D10*0.8,"🟡 Quase","🔴 Abaixo")))</f>
        <v/>
      </c>
      <c r="H10" s="16" t="str">
        <f aca="false">IF(E10="","",E10*$G$2)</f>
        <v/>
      </c>
      <c r="I10" s="17"/>
    </row>
    <row r="11" customFormat="false" ht="15" hidden="false" customHeight="false" outlineLevel="0" collapsed="false">
      <c r="A11" s="12" t="n">
        <v>6</v>
      </c>
      <c r="B11" s="13" t="n">
        <f aca="false">$D$2+5</f>
        <v>46209</v>
      </c>
      <c r="C11" s="12" t="str">
        <f aca="false">IF(MONTH(B11)&lt;&gt;MONTH($D$2),"",CHOOSE(WEEKDAY(B11,2),"Seg","Ter","Qua","Qui","Sex","Sáb","Dom"))</f>
        <v>Seg</v>
      </c>
      <c r="D11" s="12" t="n">
        <f aca="false">IF(C11="","",IF(WEEKDAY(B11,2)&lt;=4,35,IF(WEEKDAY(B11,2)=5,65,IF(WEEKDAY(B11,2)=6,80,70))))</f>
        <v>35</v>
      </c>
      <c r="E11" s="14"/>
      <c r="F11" s="15" t="str">
        <f aca="false">IF(OR(E11="",D11=""),"",E11/D11)</f>
        <v/>
      </c>
      <c r="G11" s="12" t="str">
        <f aca="false">IF(OR(E11="",D11=""),"",IF(E11&gt;=D11,"🟢 Bateu",IF(E11&gt;=D11*0.8,"🟡 Quase","🔴 Abaixo")))</f>
        <v/>
      </c>
      <c r="H11" s="16" t="str">
        <f aca="false">IF(E11="","",E11*$G$2)</f>
        <v/>
      </c>
      <c r="I11" s="17"/>
    </row>
    <row r="12" customFormat="false" ht="15" hidden="false" customHeight="false" outlineLevel="0" collapsed="false">
      <c r="A12" s="12" t="n">
        <v>7</v>
      </c>
      <c r="B12" s="13" t="n">
        <f aca="false">$D$2+6</f>
        <v>46210</v>
      </c>
      <c r="C12" s="12" t="str">
        <f aca="false">IF(MONTH(B12)&lt;&gt;MONTH($D$2),"",CHOOSE(WEEKDAY(B12,2),"Seg","Ter","Qua","Qui","Sex","Sáb","Dom"))</f>
        <v>Ter</v>
      </c>
      <c r="D12" s="12" t="n">
        <f aca="false">IF(C12="","",IF(WEEKDAY(B12,2)&lt;=4,35,IF(WEEKDAY(B12,2)=5,65,IF(WEEKDAY(B12,2)=6,80,70))))</f>
        <v>35</v>
      </c>
      <c r="E12" s="14"/>
      <c r="F12" s="15" t="str">
        <f aca="false">IF(OR(E12="",D12=""),"",E12/D12)</f>
        <v/>
      </c>
      <c r="G12" s="12" t="str">
        <f aca="false">IF(OR(E12="",D12=""),"",IF(E12&gt;=D12,"🟢 Bateu",IF(E12&gt;=D12*0.8,"🟡 Quase","🔴 Abaixo")))</f>
        <v/>
      </c>
      <c r="H12" s="16" t="str">
        <f aca="false">IF(E12="","",E12*$G$2)</f>
        <v/>
      </c>
      <c r="I12" s="17"/>
    </row>
    <row r="13" customFormat="false" ht="15" hidden="false" customHeight="false" outlineLevel="0" collapsed="false">
      <c r="A13" s="12" t="n">
        <v>8</v>
      </c>
      <c r="B13" s="13" t="n">
        <f aca="false">$D$2+7</f>
        <v>46211</v>
      </c>
      <c r="C13" s="12" t="str">
        <f aca="false">IF(MONTH(B13)&lt;&gt;MONTH($D$2),"",CHOOSE(WEEKDAY(B13,2),"Seg","Ter","Qua","Qui","Sex","Sáb","Dom"))</f>
        <v>Qua</v>
      </c>
      <c r="D13" s="12" t="n">
        <f aca="false">IF(C13="","",IF(WEEKDAY(B13,2)&lt;=4,35,IF(WEEKDAY(B13,2)=5,65,IF(WEEKDAY(B13,2)=6,80,70))))</f>
        <v>35</v>
      </c>
      <c r="E13" s="14"/>
      <c r="F13" s="15" t="str">
        <f aca="false">IF(OR(E13="",D13=""),"",E13/D13)</f>
        <v/>
      </c>
      <c r="G13" s="12" t="str">
        <f aca="false">IF(OR(E13="",D13=""),"",IF(E13&gt;=D13,"🟢 Bateu",IF(E13&gt;=D13*0.8,"🟡 Quase","🔴 Abaixo")))</f>
        <v/>
      </c>
      <c r="H13" s="16" t="str">
        <f aca="false">IF(E13="","",E13*$G$2)</f>
        <v/>
      </c>
      <c r="I13" s="17"/>
    </row>
    <row r="14" customFormat="false" ht="15" hidden="false" customHeight="false" outlineLevel="0" collapsed="false">
      <c r="A14" s="12" t="n">
        <v>9</v>
      </c>
      <c r="B14" s="13" t="n">
        <f aca="false">$D$2+8</f>
        <v>46212</v>
      </c>
      <c r="C14" s="12" t="str">
        <f aca="false">IF(MONTH(B14)&lt;&gt;MONTH($D$2),"",CHOOSE(WEEKDAY(B14,2),"Seg","Ter","Qua","Qui","Sex","Sáb","Dom"))</f>
        <v>Qui</v>
      </c>
      <c r="D14" s="12" t="n">
        <f aca="false">IF(C14="","",IF(WEEKDAY(B14,2)&lt;=4,35,IF(WEEKDAY(B14,2)=5,65,IF(WEEKDAY(B14,2)=6,80,70))))</f>
        <v>35</v>
      </c>
      <c r="E14" s="14"/>
      <c r="F14" s="15" t="str">
        <f aca="false">IF(OR(E14="",D14=""),"",E14/D14)</f>
        <v/>
      </c>
      <c r="G14" s="12" t="str">
        <f aca="false">IF(OR(E14="",D14=""),"",IF(E14&gt;=D14,"🟢 Bateu",IF(E14&gt;=D14*0.8,"🟡 Quase","🔴 Abaixo")))</f>
        <v/>
      </c>
      <c r="H14" s="16" t="str">
        <f aca="false">IF(E14="","",E14*$G$2)</f>
        <v/>
      </c>
      <c r="I14" s="17"/>
    </row>
    <row r="15" customFormat="false" ht="15" hidden="false" customHeight="false" outlineLevel="0" collapsed="false">
      <c r="A15" s="12" t="n">
        <v>10</v>
      </c>
      <c r="B15" s="13" t="n">
        <f aca="false">$D$2+9</f>
        <v>46213</v>
      </c>
      <c r="C15" s="12" t="str">
        <f aca="false">IF(MONTH(B15)&lt;&gt;MONTH($D$2),"",CHOOSE(WEEKDAY(B15,2),"Seg","Ter","Qua","Qui","Sex","Sáb","Dom"))</f>
        <v>Sex</v>
      </c>
      <c r="D15" s="12" t="n">
        <f aca="false">IF(C15="","",IF(WEEKDAY(B15,2)&lt;=4,35,IF(WEEKDAY(B15,2)=5,65,IF(WEEKDAY(B15,2)=6,80,70))))</f>
        <v>65</v>
      </c>
      <c r="E15" s="14"/>
      <c r="F15" s="15" t="str">
        <f aca="false">IF(OR(E15="",D15=""),"",E15/D15)</f>
        <v/>
      </c>
      <c r="G15" s="12" t="str">
        <f aca="false">IF(OR(E15="",D15=""),"",IF(E15&gt;=D15,"🟢 Bateu",IF(E15&gt;=D15*0.8,"🟡 Quase","🔴 Abaixo")))</f>
        <v/>
      </c>
      <c r="H15" s="16" t="str">
        <f aca="false">IF(E15="","",E15*$G$2)</f>
        <v/>
      </c>
      <c r="I15" s="17"/>
    </row>
    <row r="16" customFormat="false" ht="15" hidden="false" customHeight="false" outlineLevel="0" collapsed="false">
      <c r="A16" s="12" t="n">
        <v>11</v>
      </c>
      <c r="B16" s="13" t="n">
        <f aca="false">$D$2+10</f>
        <v>46214</v>
      </c>
      <c r="C16" s="12" t="str">
        <f aca="false">IF(MONTH(B16)&lt;&gt;MONTH($D$2),"",CHOOSE(WEEKDAY(B16,2),"Seg","Ter","Qua","Qui","Sex","Sáb","Dom"))</f>
        <v>Sáb</v>
      </c>
      <c r="D16" s="12" t="n">
        <f aca="false">IF(C16="","",IF(WEEKDAY(B16,2)&lt;=4,35,IF(WEEKDAY(B16,2)=5,65,IF(WEEKDAY(B16,2)=6,80,70))))</f>
        <v>80</v>
      </c>
      <c r="E16" s="14"/>
      <c r="F16" s="15" t="str">
        <f aca="false">IF(OR(E16="",D16=""),"",E16/D16)</f>
        <v/>
      </c>
      <c r="G16" s="12" t="str">
        <f aca="false">IF(OR(E16="",D16=""),"",IF(E16&gt;=D16,"🟢 Bateu",IF(E16&gt;=D16*0.8,"🟡 Quase","🔴 Abaixo")))</f>
        <v/>
      </c>
      <c r="H16" s="16" t="str">
        <f aca="false">IF(E16="","",E16*$G$2)</f>
        <v/>
      </c>
      <c r="I16" s="17"/>
    </row>
    <row r="17" customFormat="false" ht="15" hidden="false" customHeight="false" outlineLevel="0" collapsed="false">
      <c r="A17" s="12" t="n">
        <v>12</v>
      </c>
      <c r="B17" s="13" t="n">
        <f aca="false">$D$2+11</f>
        <v>46215</v>
      </c>
      <c r="C17" s="12" t="str">
        <f aca="false">IF(MONTH(B17)&lt;&gt;MONTH($D$2),"",CHOOSE(WEEKDAY(B17,2),"Seg","Ter","Qua","Qui","Sex","Sáb","Dom"))</f>
        <v>Dom</v>
      </c>
      <c r="D17" s="12" t="n">
        <f aca="false">IF(C17="","",IF(WEEKDAY(B17,2)&lt;=4,35,IF(WEEKDAY(B17,2)=5,65,IF(WEEKDAY(B17,2)=6,80,70))))</f>
        <v>70</v>
      </c>
      <c r="E17" s="14"/>
      <c r="F17" s="15" t="str">
        <f aca="false">IF(OR(E17="",D17=""),"",E17/D17)</f>
        <v/>
      </c>
      <c r="G17" s="12" t="str">
        <f aca="false">IF(OR(E17="",D17=""),"",IF(E17&gt;=D17,"🟢 Bateu",IF(E17&gt;=D17*0.8,"🟡 Quase","🔴 Abaixo")))</f>
        <v/>
      </c>
      <c r="H17" s="16" t="str">
        <f aca="false">IF(E17="","",E17*$G$2)</f>
        <v/>
      </c>
      <c r="I17" s="17"/>
    </row>
    <row r="18" customFormat="false" ht="15" hidden="false" customHeight="false" outlineLevel="0" collapsed="false">
      <c r="A18" s="12" t="n">
        <v>13</v>
      </c>
      <c r="B18" s="13" t="n">
        <f aca="false">$D$2+12</f>
        <v>46216</v>
      </c>
      <c r="C18" s="12" t="str">
        <f aca="false">IF(MONTH(B18)&lt;&gt;MONTH($D$2),"",CHOOSE(WEEKDAY(B18,2),"Seg","Ter","Qua","Qui","Sex","Sáb","Dom"))</f>
        <v>Seg</v>
      </c>
      <c r="D18" s="12" t="n">
        <f aca="false">IF(C18="","",IF(WEEKDAY(B18,2)&lt;=4,35,IF(WEEKDAY(B18,2)=5,65,IF(WEEKDAY(B18,2)=6,80,70))))</f>
        <v>35</v>
      </c>
      <c r="E18" s="14"/>
      <c r="F18" s="15" t="str">
        <f aca="false">IF(OR(E18="",D18=""),"",E18/D18)</f>
        <v/>
      </c>
      <c r="G18" s="12" t="str">
        <f aca="false">IF(OR(E18="",D18=""),"",IF(E18&gt;=D18,"🟢 Bateu",IF(E18&gt;=D18*0.8,"🟡 Quase","🔴 Abaixo")))</f>
        <v/>
      </c>
      <c r="H18" s="16" t="str">
        <f aca="false">IF(E18="","",E18*$G$2)</f>
        <v/>
      </c>
      <c r="I18" s="17"/>
    </row>
    <row r="19" customFormat="false" ht="15" hidden="false" customHeight="false" outlineLevel="0" collapsed="false">
      <c r="A19" s="12" t="n">
        <v>14</v>
      </c>
      <c r="B19" s="13" t="n">
        <f aca="false">$D$2+13</f>
        <v>46217</v>
      </c>
      <c r="C19" s="12" t="str">
        <f aca="false">IF(MONTH(B19)&lt;&gt;MONTH($D$2),"",CHOOSE(WEEKDAY(B19,2),"Seg","Ter","Qua","Qui","Sex","Sáb","Dom"))</f>
        <v>Ter</v>
      </c>
      <c r="D19" s="12" t="n">
        <f aca="false">IF(C19="","",IF(WEEKDAY(B19,2)&lt;=4,35,IF(WEEKDAY(B19,2)=5,65,IF(WEEKDAY(B19,2)=6,80,70))))</f>
        <v>35</v>
      </c>
      <c r="E19" s="14"/>
      <c r="F19" s="15" t="str">
        <f aca="false">IF(OR(E19="",D19=""),"",E19/D19)</f>
        <v/>
      </c>
      <c r="G19" s="12" t="str">
        <f aca="false">IF(OR(E19="",D19=""),"",IF(E19&gt;=D19,"🟢 Bateu",IF(E19&gt;=D19*0.8,"🟡 Quase","🔴 Abaixo")))</f>
        <v/>
      </c>
      <c r="H19" s="16" t="str">
        <f aca="false">IF(E19="","",E19*$G$2)</f>
        <v/>
      </c>
      <c r="I19" s="17"/>
    </row>
    <row r="20" customFormat="false" ht="15" hidden="false" customHeight="false" outlineLevel="0" collapsed="false">
      <c r="A20" s="12" t="n">
        <v>15</v>
      </c>
      <c r="B20" s="13" t="n">
        <f aca="false">$D$2+14</f>
        <v>46218</v>
      </c>
      <c r="C20" s="12" t="str">
        <f aca="false">IF(MONTH(B20)&lt;&gt;MONTH($D$2),"",CHOOSE(WEEKDAY(B20,2),"Seg","Ter","Qua","Qui","Sex","Sáb","Dom"))</f>
        <v>Qua</v>
      </c>
      <c r="D20" s="12" t="n">
        <f aca="false">IF(C20="","",IF(WEEKDAY(B20,2)&lt;=4,35,IF(WEEKDAY(B20,2)=5,65,IF(WEEKDAY(B20,2)=6,80,70))))</f>
        <v>35</v>
      </c>
      <c r="E20" s="14"/>
      <c r="F20" s="15" t="str">
        <f aca="false">IF(OR(E20="",D20=""),"",E20/D20)</f>
        <v/>
      </c>
      <c r="G20" s="12" t="str">
        <f aca="false">IF(OR(E20="",D20=""),"",IF(E20&gt;=D20,"🟢 Bateu",IF(E20&gt;=D20*0.8,"🟡 Quase","🔴 Abaixo")))</f>
        <v/>
      </c>
      <c r="H20" s="16" t="str">
        <f aca="false">IF(E20="","",E20*$G$2)</f>
        <v/>
      </c>
      <c r="I20" s="17"/>
    </row>
    <row r="21" customFormat="false" ht="15" hidden="false" customHeight="false" outlineLevel="0" collapsed="false">
      <c r="A21" s="12" t="n">
        <v>16</v>
      </c>
      <c r="B21" s="13" t="n">
        <f aca="false">$D$2+15</f>
        <v>46219</v>
      </c>
      <c r="C21" s="12" t="str">
        <f aca="false">IF(MONTH(B21)&lt;&gt;MONTH($D$2),"",CHOOSE(WEEKDAY(B21,2),"Seg","Ter","Qua","Qui","Sex","Sáb","Dom"))</f>
        <v>Qui</v>
      </c>
      <c r="D21" s="12" t="n">
        <f aca="false">IF(C21="","",IF(WEEKDAY(B21,2)&lt;=4,35,IF(WEEKDAY(B21,2)=5,65,IF(WEEKDAY(B21,2)=6,80,70))))</f>
        <v>35</v>
      </c>
      <c r="E21" s="14"/>
      <c r="F21" s="15" t="str">
        <f aca="false">IF(OR(E21="",D21=""),"",E21/D21)</f>
        <v/>
      </c>
      <c r="G21" s="12" t="str">
        <f aca="false">IF(OR(E21="",D21=""),"",IF(E21&gt;=D21,"🟢 Bateu",IF(E21&gt;=D21*0.8,"🟡 Quase","🔴 Abaixo")))</f>
        <v/>
      </c>
      <c r="H21" s="16" t="str">
        <f aca="false">IF(E21="","",E21*$G$2)</f>
        <v/>
      </c>
      <c r="I21" s="17"/>
    </row>
    <row r="22" customFormat="false" ht="15" hidden="false" customHeight="false" outlineLevel="0" collapsed="false">
      <c r="A22" s="12" t="n">
        <v>17</v>
      </c>
      <c r="B22" s="13" t="n">
        <f aca="false">$D$2+16</f>
        <v>46220</v>
      </c>
      <c r="C22" s="12" t="str">
        <f aca="false">IF(MONTH(B22)&lt;&gt;MONTH($D$2),"",CHOOSE(WEEKDAY(B22,2),"Seg","Ter","Qua","Qui","Sex","Sáb","Dom"))</f>
        <v>Sex</v>
      </c>
      <c r="D22" s="12" t="n">
        <f aca="false">IF(C22="","",IF(WEEKDAY(B22,2)&lt;=4,35,IF(WEEKDAY(B22,2)=5,65,IF(WEEKDAY(B22,2)=6,80,70))))</f>
        <v>65</v>
      </c>
      <c r="E22" s="14"/>
      <c r="F22" s="15" t="str">
        <f aca="false">IF(OR(E22="",D22=""),"",E22/D22)</f>
        <v/>
      </c>
      <c r="G22" s="12" t="str">
        <f aca="false">IF(OR(E22="",D22=""),"",IF(E22&gt;=D22,"🟢 Bateu",IF(E22&gt;=D22*0.8,"🟡 Quase","🔴 Abaixo")))</f>
        <v/>
      </c>
      <c r="H22" s="16" t="str">
        <f aca="false">IF(E22="","",E22*$G$2)</f>
        <v/>
      </c>
      <c r="I22" s="17"/>
    </row>
    <row r="23" customFormat="false" ht="15" hidden="false" customHeight="false" outlineLevel="0" collapsed="false">
      <c r="A23" s="12" t="n">
        <v>18</v>
      </c>
      <c r="B23" s="13" t="n">
        <f aca="false">$D$2+17</f>
        <v>46221</v>
      </c>
      <c r="C23" s="12" t="str">
        <f aca="false">IF(MONTH(B23)&lt;&gt;MONTH($D$2),"",CHOOSE(WEEKDAY(B23,2),"Seg","Ter","Qua","Qui","Sex","Sáb","Dom"))</f>
        <v>Sáb</v>
      </c>
      <c r="D23" s="12" t="n">
        <f aca="false">IF(C23="","",IF(WEEKDAY(B23,2)&lt;=4,35,IF(WEEKDAY(B23,2)=5,65,IF(WEEKDAY(B23,2)=6,80,70))))</f>
        <v>80</v>
      </c>
      <c r="E23" s="14"/>
      <c r="F23" s="15" t="str">
        <f aca="false">IF(OR(E23="",D23=""),"",E23/D23)</f>
        <v/>
      </c>
      <c r="G23" s="12" t="str">
        <f aca="false">IF(OR(E23="",D23=""),"",IF(E23&gt;=D23,"🟢 Bateu",IF(E23&gt;=D23*0.8,"🟡 Quase","🔴 Abaixo")))</f>
        <v/>
      </c>
      <c r="H23" s="16" t="str">
        <f aca="false">IF(E23="","",E23*$G$2)</f>
        <v/>
      </c>
      <c r="I23" s="17"/>
    </row>
    <row r="24" customFormat="false" ht="15" hidden="false" customHeight="false" outlineLevel="0" collapsed="false">
      <c r="A24" s="12" t="n">
        <v>19</v>
      </c>
      <c r="B24" s="13" t="n">
        <f aca="false">$D$2+18</f>
        <v>46222</v>
      </c>
      <c r="C24" s="12" t="str">
        <f aca="false">IF(MONTH(B24)&lt;&gt;MONTH($D$2),"",CHOOSE(WEEKDAY(B24,2),"Seg","Ter","Qua","Qui","Sex","Sáb","Dom"))</f>
        <v>Dom</v>
      </c>
      <c r="D24" s="12" t="n">
        <f aca="false">IF(C24="","",IF(WEEKDAY(B24,2)&lt;=4,35,IF(WEEKDAY(B24,2)=5,65,IF(WEEKDAY(B24,2)=6,80,70))))</f>
        <v>70</v>
      </c>
      <c r="E24" s="14"/>
      <c r="F24" s="15" t="str">
        <f aca="false">IF(OR(E24="",D24=""),"",E24/D24)</f>
        <v/>
      </c>
      <c r="G24" s="12" t="str">
        <f aca="false">IF(OR(E24="",D24=""),"",IF(E24&gt;=D24,"🟢 Bateu",IF(E24&gt;=D24*0.8,"🟡 Quase","🔴 Abaixo")))</f>
        <v/>
      </c>
      <c r="H24" s="16" t="str">
        <f aca="false">IF(E24="","",E24*$G$2)</f>
        <v/>
      </c>
      <c r="I24" s="17"/>
    </row>
    <row r="25" customFormat="false" ht="15" hidden="false" customHeight="false" outlineLevel="0" collapsed="false">
      <c r="A25" s="12" t="n">
        <v>20</v>
      </c>
      <c r="B25" s="13" t="n">
        <f aca="false">$D$2+19</f>
        <v>46223</v>
      </c>
      <c r="C25" s="12" t="str">
        <f aca="false">IF(MONTH(B25)&lt;&gt;MONTH($D$2),"",CHOOSE(WEEKDAY(B25,2),"Seg","Ter","Qua","Qui","Sex","Sáb","Dom"))</f>
        <v>Seg</v>
      </c>
      <c r="D25" s="12" t="n">
        <f aca="false">IF(C25="","",IF(WEEKDAY(B25,2)&lt;=4,35,IF(WEEKDAY(B25,2)=5,65,IF(WEEKDAY(B25,2)=6,80,70))))</f>
        <v>35</v>
      </c>
      <c r="E25" s="14"/>
      <c r="F25" s="15" t="str">
        <f aca="false">IF(OR(E25="",D25=""),"",E25/D25)</f>
        <v/>
      </c>
      <c r="G25" s="12" t="str">
        <f aca="false">IF(OR(E25="",D25=""),"",IF(E25&gt;=D25,"🟢 Bateu",IF(E25&gt;=D25*0.8,"🟡 Quase","🔴 Abaixo")))</f>
        <v/>
      </c>
      <c r="H25" s="16" t="str">
        <f aca="false">IF(E25="","",E25*$G$2)</f>
        <v/>
      </c>
      <c r="I25" s="17"/>
    </row>
    <row r="26" customFormat="false" ht="15" hidden="false" customHeight="false" outlineLevel="0" collapsed="false">
      <c r="A26" s="12" t="n">
        <v>21</v>
      </c>
      <c r="B26" s="13" t="n">
        <f aca="false">$D$2+20</f>
        <v>46224</v>
      </c>
      <c r="C26" s="12" t="str">
        <f aca="false">IF(MONTH(B26)&lt;&gt;MONTH($D$2),"",CHOOSE(WEEKDAY(B26,2),"Seg","Ter","Qua","Qui","Sex","Sáb","Dom"))</f>
        <v>Ter</v>
      </c>
      <c r="D26" s="12" t="n">
        <f aca="false">IF(C26="","",IF(WEEKDAY(B26,2)&lt;=4,35,IF(WEEKDAY(B26,2)=5,65,IF(WEEKDAY(B26,2)=6,80,70))))</f>
        <v>35</v>
      </c>
      <c r="E26" s="14"/>
      <c r="F26" s="15" t="str">
        <f aca="false">IF(OR(E26="",D26=""),"",E26/D26)</f>
        <v/>
      </c>
      <c r="G26" s="12" t="str">
        <f aca="false">IF(OR(E26="",D26=""),"",IF(E26&gt;=D26,"🟢 Bateu",IF(E26&gt;=D26*0.8,"🟡 Quase","🔴 Abaixo")))</f>
        <v/>
      </c>
      <c r="H26" s="16" t="str">
        <f aca="false">IF(E26="","",E26*$G$2)</f>
        <v/>
      </c>
      <c r="I26" s="17"/>
    </row>
    <row r="27" customFormat="false" ht="15" hidden="false" customHeight="false" outlineLevel="0" collapsed="false">
      <c r="A27" s="12" t="n">
        <v>22</v>
      </c>
      <c r="B27" s="13" t="n">
        <f aca="false">$D$2+21</f>
        <v>46225</v>
      </c>
      <c r="C27" s="12" t="str">
        <f aca="false">IF(MONTH(B27)&lt;&gt;MONTH($D$2),"",CHOOSE(WEEKDAY(B27,2),"Seg","Ter","Qua","Qui","Sex","Sáb","Dom"))</f>
        <v>Qua</v>
      </c>
      <c r="D27" s="12" t="n">
        <f aca="false">IF(C27="","",IF(WEEKDAY(B27,2)&lt;=4,35,IF(WEEKDAY(B27,2)=5,65,IF(WEEKDAY(B27,2)=6,80,70))))</f>
        <v>35</v>
      </c>
      <c r="E27" s="14"/>
      <c r="F27" s="15" t="str">
        <f aca="false">IF(OR(E27="",D27=""),"",E27/D27)</f>
        <v/>
      </c>
      <c r="G27" s="12" t="str">
        <f aca="false">IF(OR(E27="",D27=""),"",IF(E27&gt;=D27,"🟢 Bateu",IF(E27&gt;=D27*0.8,"🟡 Quase","🔴 Abaixo")))</f>
        <v/>
      </c>
      <c r="H27" s="16" t="str">
        <f aca="false">IF(E27="","",E27*$G$2)</f>
        <v/>
      </c>
      <c r="I27" s="17"/>
    </row>
    <row r="28" customFormat="false" ht="15" hidden="false" customHeight="false" outlineLevel="0" collapsed="false">
      <c r="A28" s="12" t="n">
        <v>23</v>
      </c>
      <c r="B28" s="13" t="n">
        <f aca="false">$D$2+22</f>
        <v>46226</v>
      </c>
      <c r="C28" s="12" t="str">
        <f aca="false">IF(MONTH(B28)&lt;&gt;MONTH($D$2),"",CHOOSE(WEEKDAY(B28,2),"Seg","Ter","Qua","Qui","Sex","Sáb","Dom"))</f>
        <v>Qui</v>
      </c>
      <c r="D28" s="12" t="n">
        <f aca="false">IF(C28="","",IF(WEEKDAY(B28,2)&lt;=4,35,IF(WEEKDAY(B28,2)=5,65,IF(WEEKDAY(B28,2)=6,80,70))))</f>
        <v>35</v>
      </c>
      <c r="E28" s="14"/>
      <c r="F28" s="15" t="str">
        <f aca="false">IF(OR(E28="",D28=""),"",E28/D28)</f>
        <v/>
      </c>
      <c r="G28" s="12" t="str">
        <f aca="false">IF(OR(E28="",D28=""),"",IF(E28&gt;=D28,"🟢 Bateu",IF(E28&gt;=D28*0.8,"🟡 Quase","🔴 Abaixo")))</f>
        <v/>
      </c>
      <c r="H28" s="16" t="str">
        <f aca="false">IF(E28="","",E28*$G$2)</f>
        <v/>
      </c>
      <c r="I28" s="17"/>
    </row>
    <row r="29" customFormat="false" ht="15" hidden="false" customHeight="false" outlineLevel="0" collapsed="false">
      <c r="A29" s="12" t="n">
        <v>24</v>
      </c>
      <c r="B29" s="13" t="n">
        <f aca="false">$D$2+23</f>
        <v>46227</v>
      </c>
      <c r="C29" s="12" t="str">
        <f aca="false">IF(MONTH(B29)&lt;&gt;MONTH($D$2),"",CHOOSE(WEEKDAY(B29,2),"Seg","Ter","Qua","Qui","Sex","Sáb","Dom"))</f>
        <v>Sex</v>
      </c>
      <c r="D29" s="12" t="n">
        <f aca="false">IF(C29="","",IF(WEEKDAY(B29,2)&lt;=4,35,IF(WEEKDAY(B29,2)=5,65,IF(WEEKDAY(B29,2)=6,80,70))))</f>
        <v>65</v>
      </c>
      <c r="E29" s="14"/>
      <c r="F29" s="15" t="str">
        <f aca="false">IF(OR(E29="",D29=""),"",E29/D29)</f>
        <v/>
      </c>
      <c r="G29" s="12" t="str">
        <f aca="false">IF(OR(E29="",D29=""),"",IF(E29&gt;=D29,"🟢 Bateu",IF(E29&gt;=D29*0.8,"🟡 Quase","🔴 Abaixo")))</f>
        <v/>
      </c>
      <c r="H29" s="16" t="str">
        <f aca="false">IF(E29="","",E29*$G$2)</f>
        <v/>
      </c>
      <c r="I29" s="17"/>
    </row>
    <row r="30" customFormat="false" ht="15" hidden="false" customHeight="false" outlineLevel="0" collapsed="false">
      <c r="A30" s="12" t="n">
        <v>25</v>
      </c>
      <c r="B30" s="13" t="n">
        <f aca="false">$D$2+24</f>
        <v>46228</v>
      </c>
      <c r="C30" s="12" t="str">
        <f aca="false">IF(MONTH(B30)&lt;&gt;MONTH($D$2),"",CHOOSE(WEEKDAY(B30,2),"Seg","Ter","Qua","Qui","Sex","Sáb","Dom"))</f>
        <v>Sáb</v>
      </c>
      <c r="D30" s="12" t="n">
        <f aca="false">IF(C30="","",IF(WEEKDAY(B30,2)&lt;=4,35,IF(WEEKDAY(B30,2)=5,65,IF(WEEKDAY(B30,2)=6,80,70))))</f>
        <v>80</v>
      </c>
      <c r="E30" s="14"/>
      <c r="F30" s="15" t="str">
        <f aca="false">IF(OR(E30="",D30=""),"",E30/D30)</f>
        <v/>
      </c>
      <c r="G30" s="12" t="str">
        <f aca="false">IF(OR(E30="",D30=""),"",IF(E30&gt;=D30,"🟢 Bateu",IF(E30&gt;=D30*0.8,"🟡 Quase","🔴 Abaixo")))</f>
        <v/>
      </c>
      <c r="H30" s="16" t="str">
        <f aca="false">IF(E30="","",E30*$G$2)</f>
        <v/>
      </c>
      <c r="I30" s="17"/>
    </row>
    <row r="31" customFormat="false" ht="15" hidden="false" customHeight="false" outlineLevel="0" collapsed="false">
      <c r="A31" s="12" t="n">
        <v>26</v>
      </c>
      <c r="B31" s="13" t="n">
        <f aca="false">$D$2+25</f>
        <v>46229</v>
      </c>
      <c r="C31" s="12" t="str">
        <f aca="false">IF(MONTH(B31)&lt;&gt;MONTH($D$2),"",CHOOSE(WEEKDAY(B31,2),"Seg","Ter","Qua","Qui","Sex","Sáb","Dom"))</f>
        <v>Dom</v>
      </c>
      <c r="D31" s="12" t="n">
        <f aca="false">IF(C31="","",IF(WEEKDAY(B31,2)&lt;=4,35,IF(WEEKDAY(B31,2)=5,65,IF(WEEKDAY(B31,2)=6,80,70))))</f>
        <v>70</v>
      </c>
      <c r="E31" s="14"/>
      <c r="F31" s="15" t="str">
        <f aca="false">IF(OR(E31="",D31=""),"",E31/D31)</f>
        <v/>
      </c>
      <c r="G31" s="12" t="str">
        <f aca="false">IF(OR(E31="",D31=""),"",IF(E31&gt;=D31,"🟢 Bateu",IF(E31&gt;=D31*0.8,"🟡 Quase","🔴 Abaixo")))</f>
        <v/>
      </c>
      <c r="H31" s="16" t="str">
        <f aca="false">IF(E31="","",E31*$G$2)</f>
        <v/>
      </c>
      <c r="I31" s="17"/>
    </row>
    <row r="32" customFormat="false" ht="15" hidden="false" customHeight="false" outlineLevel="0" collapsed="false">
      <c r="A32" s="12" t="n">
        <v>27</v>
      </c>
      <c r="B32" s="13" t="n">
        <f aca="false">$D$2+26</f>
        <v>46230</v>
      </c>
      <c r="C32" s="12" t="str">
        <f aca="false">IF(MONTH(B32)&lt;&gt;MONTH($D$2),"",CHOOSE(WEEKDAY(B32,2),"Seg","Ter","Qua","Qui","Sex","Sáb","Dom"))</f>
        <v>Seg</v>
      </c>
      <c r="D32" s="12" t="n">
        <f aca="false">IF(C32="","",IF(WEEKDAY(B32,2)&lt;=4,35,IF(WEEKDAY(B32,2)=5,65,IF(WEEKDAY(B32,2)=6,80,70))))</f>
        <v>35</v>
      </c>
      <c r="E32" s="14"/>
      <c r="F32" s="15" t="str">
        <f aca="false">IF(OR(E32="",D32=""),"",E32/D32)</f>
        <v/>
      </c>
      <c r="G32" s="12" t="str">
        <f aca="false">IF(OR(E32="",D32=""),"",IF(E32&gt;=D32,"🟢 Bateu",IF(E32&gt;=D32*0.8,"🟡 Quase","🔴 Abaixo")))</f>
        <v/>
      </c>
      <c r="H32" s="16" t="str">
        <f aca="false">IF(E32="","",E32*$G$2)</f>
        <v/>
      </c>
      <c r="I32" s="17"/>
    </row>
    <row r="33" customFormat="false" ht="15" hidden="false" customHeight="false" outlineLevel="0" collapsed="false">
      <c r="A33" s="12" t="n">
        <v>28</v>
      </c>
      <c r="B33" s="13" t="n">
        <f aca="false">$D$2+27</f>
        <v>46231</v>
      </c>
      <c r="C33" s="12" t="str">
        <f aca="false">IF(MONTH(B33)&lt;&gt;MONTH($D$2),"",CHOOSE(WEEKDAY(B33,2),"Seg","Ter","Qua","Qui","Sex","Sáb","Dom"))</f>
        <v>Ter</v>
      </c>
      <c r="D33" s="12" t="n">
        <f aca="false">IF(C33="","",IF(WEEKDAY(B33,2)&lt;=4,35,IF(WEEKDAY(B33,2)=5,65,IF(WEEKDAY(B33,2)=6,80,70))))</f>
        <v>35</v>
      </c>
      <c r="E33" s="14"/>
      <c r="F33" s="15" t="str">
        <f aca="false">IF(OR(E33="",D33=""),"",E33/D33)</f>
        <v/>
      </c>
      <c r="G33" s="12" t="str">
        <f aca="false">IF(OR(E33="",D33=""),"",IF(E33&gt;=D33,"🟢 Bateu",IF(E33&gt;=D33*0.8,"🟡 Quase","🔴 Abaixo")))</f>
        <v/>
      </c>
      <c r="H33" s="16" t="str">
        <f aca="false">IF(E33="","",E33*$G$2)</f>
        <v/>
      </c>
      <c r="I33" s="17"/>
    </row>
    <row r="34" customFormat="false" ht="15" hidden="false" customHeight="false" outlineLevel="0" collapsed="false">
      <c r="A34" s="12" t="n">
        <v>29</v>
      </c>
      <c r="B34" s="13" t="n">
        <f aca="false">$D$2+28</f>
        <v>46232</v>
      </c>
      <c r="C34" s="12" t="str">
        <f aca="false">IF(MONTH(B34)&lt;&gt;MONTH($D$2),"",CHOOSE(WEEKDAY(B34,2),"Seg","Ter","Qua","Qui","Sex","Sáb","Dom"))</f>
        <v>Qua</v>
      </c>
      <c r="D34" s="12" t="n">
        <f aca="false">IF(C34="","",IF(WEEKDAY(B34,2)&lt;=4,35,IF(WEEKDAY(B34,2)=5,65,IF(WEEKDAY(B34,2)=6,80,70))))</f>
        <v>35</v>
      </c>
      <c r="E34" s="14"/>
      <c r="F34" s="15" t="str">
        <f aca="false">IF(OR(E34="",D34=""),"",E34/D34)</f>
        <v/>
      </c>
      <c r="G34" s="12" t="str">
        <f aca="false">IF(OR(E34="",D34=""),"",IF(E34&gt;=D34,"🟢 Bateu",IF(E34&gt;=D34*0.8,"🟡 Quase","🔴 Abaixo")))</f>
        <v/>
      </c>
      <c r="H34" s="16" t="str">
        <f aca="false">IF(E34="","",E34*$G$2)</f>
        <v/>
      </c>
      <c r="I34" s="17"/>
    </row>
    <row r="35" customFormat="false" ht="15" hidden="false" customHeight="false" outlineLevel="0" collapsed="false">
      <c r="A35" s="12" t="n">
        <v>30</v>
      </c>
      <c r="B35" s="13" t="n">
        <f aca="false">$D$2+29</f>
        <v>46233</v>
      </c>
      <c r="C35" s="12" t="str">
        <f aca="false">IF(MONTH(B35)&lt;&gt;MONTH($D$2),"",CHOOSE(WEEKDAY(B35,2),"Seg","Ter","Qua","Qui","Sex","Sáb","Dom"))</f>
        <v>Qui</v>
      </c>
      <c r="D35" s="12" t="n">
        <f aca="false">IF(C35="","",IF(WEEKDAY(B35,2)&lt;=4,35,IF(WEEKDAY(B35,2)=5,65,IF(WEEKDAY(B35,2)=6,80,70))))</f>
        <v>35</v>
      </c>
      <c r="E35" s="14"/>
      <c r="F35" s="15" t="str">
        <f aca="false">IF(OR(E35="",D35=""),"",E35/D35)</f>
        <v/>
      </c>
      <c r="G35" s="12" t="str">
        <f aca="false">IF(OR(E35="",D35=""),"",IF(E35&gt;=D35,"🟢 Bateu",IF(E35&gt;=D35*0.8,"🟡 Quase","🔴 Abaixo")))</f>
        <v/>
      </c>
      <c r="H35" s="16" t="str">
        <f aca="false">IF(E35="","",E35*$G$2)</f>
        <v/>
      </c>
      <c r="I35" s="17"/>
    </row>
    <row r="36" customFormat="false" ht="15" hidden="false" customHeight="false" outlineLevel="0" collapsed="false">
      <c r="A36" s="12" t="n">
        <v>31</v>
      </c>
      <c r="B36" s="13" t="n">
        <f aca="false">$D$2+30</f>
        <v>46234</v>
      </c>
      <c r="C36" s="12" t="str">
        <f aca="false">IF(MONTH(B36)&lt;&gt;MONTH($D$2),"",CHOOSE(WEEKDAY(B36,2),"Seg","Ter","Qua","Qui","Sex","Sáb","Dom"))</f>
        <v>Sex</v>
      </c>
      <c r="D36" s="12" t="n">
        <f aca="false">IF(C36="","",IF(WEEKDAY(B36,2)&lt;=4,35,IF(WEEKDAY(B36,2)=5,65,IF(WEEKDAY(B36,2)=6,80,70))))</f>
        <v>65</v>
      </c>
      <c r="E36" s="14"/>
      <c r="F36" s="15" t="str">
        <f aca="false">IF(OR(E36="",D36=""),"",E36/D36)</f>
        <v/>
      </c>
      <c r="G36" s="12" t="str">
        <f aca="false">IF(OR(E36="",D36=""),"",IF(E36&gt;=D36,"🟢 Bateu",IF(E36&gt;=D36*0.8,"🟡 Quase","🔴 Abaixo")))</f>
        <v/>
      </c>
      <c r="H36" s="16" t="str">
        <f aca="false">IF(E36="","",E36*$G$2)</f>
        <v/>
      </c>
      <c r="I36" s="17"/>
    </row>
    <row r="37" customFormat="false" ht="15" hidden="false" customHeight="false" outlineLevel="0" collapsed="false">
      <c r="A37" s="18" t="s">
        <v>17</v>
      </c>
      <c r="B37" s="18"/>
      <c r="C37" s="18"/>
      <c r="D37" s="19" t="n">
        <f aca="false">SUM(D6:D36)</f>
        <v>1555</v>
      </c>
      <c r="E37" s="19" t="n">
        <f aca="false">SUM(E6:E36)</f>
        <v>0</v>
      </c>
      <c r="F37" s="20" t="n">
        <f aca="false">IF(D37=0,"",E37/D37)</f>
        <v>0</v>
      </c>
      <c r="G37" s="19" t="str">
        <f aca="false">IF(E37&gt;=1500,"🟢 META!",IF(E37&gt;=824,"🟡 No azul","🔴 Abaixo"))</f>
        <v>🔴 Abaixo</v>
      </c>
      <c r="H37" s="10" t="n">
        <f aca="false">SUM(H6:H36)</f>
        <v>0</v>
      </c>
      <c r="I37" s="21" t="s">
        <v>18</v>
      </c>
    </row>
    <row r="39" customFormat="false" ht="15" hidden="false" customHeight="false" outlineLevel="0" collapsed="false">
      <c r="A39" s="2" t="s">
        <v>19</v>
      </c>
      <c r="B39" s="2"/>
      <c r="C39" s="2"/>
      <c r="D39" s="2"/>
      <c r="E39" s="2"/>
      <c r="F39" s="2"/>
      <c r="G39" s="2"/>
      <c r="H39" s="2"/>
      <c r="I39" s="2"/>
    </row>
    <row r="40" customFormat="false" ht="15" hidden="false" customHeight="false" outlineLevel="0" collapsed="false">
      <c r="A40" s="22" t="s">
        <v>20</v>
      </c>
      <c r="B40" s="22"/>
      <c r="C40" s="22"/>
      <c r="D40" s="22"/>
      <c r="E40" s="22"/>
      <c r="F40" s="22"/>
      <c r="G40" s="22"/>
      <c r="H40" s="22"/>
      <c r="I40" s="22"/>
    </row>
    <row r="41" customFormat="false" ht="15" hidden="false" customHeight="false" outlineLevel="0" collapsed="false">
      <c r="A41" s="22" t="s">
        <v>21</v>
      </c>
      <c r="B41" s="22"/>
      <c r="C41" s="22"/>
      <c r="D41" s="22"/>
      <c r="E41" s="22"/>
      <c r="F41" s="22"/>
      <c r="G41" s="22"/>
      <c r="H41" s="22"/>
      <c r="I41" s="22"/>
    </row>
    <row r="42" customFormat="false" ht="15" hidden="false" customHeight="false" outlineLevel="0" collapsed="false">
      <c r="A42" s="22" t="s">
        <v>22</v>
      </c>
      <c r="B42" s="22"/>
      <c r="C42" s="22"/>
      <c r="D42" s="22"/>
      <c r="E42" s="22"/>
      <c r="F42" s="22"/>
      <c r="G42" s="22"/>
      <c r="H42" s="22"/>
      <c r="I42" s="22"/>
    </row>
    <row r="43" customFormat="false" ht="15" hidden="false" customHeight="false" outlineLevel="0" collapsed="false">
      <c r="A43" s="22" t="s">
        <v>23</v>
      </c>
      <c r="B43" s="22"/>
      <c r="C43" s="22"/>
      <c r="D43" s="22"/>
      <c r="E43" s="22"/>
      <c r="F43" s="22"/>
      <c r="G43" s="22"/>
      <c r="H43" s="22"/>
      <c r="I43" s="22"/>
    </row>
    <row r="44" customFormat="false" ht="15" hidden="false" customHeight="false" outlineLevel="0" collapsed="false">
      <c r="A44" s="22" t="s">
        <v>24</v>
      </c>
      <c r="B44" s="22"/>
      <c r="C44" s="22"/>
      <c r="D44" s="22"/>
      <c r="E44" s="22"/>
      <c r="F44" s="22"/>
      <c r="G44" s="22"/>
      <c r="H44" s="22"/>
      <c r="I44" s="22"/>
    </row>
  </sheetData>
  <mergeCells count="13">
    <mergeCell ref="A1:I1"/>
    <mergeCell ref="A2:C2"/>
    <mergeCell ref="E2:F2"/>
    <mergeCell ref="A3:B3"/>
    <mergeCell ref="C3:D3"/>
    <mergeCell ref="F3:G3"/>
    <mergeCell ref="A37:C37"/>
    <mergeCell ref="A39:I39"/>
    <mergeCell ref="A40:I40"/>
    <mergeCell ref="A41:I41"/>
    <mergeCell ref="A42:I42"/>
    <mergeCell ref="A43:I43"/>
    <mergeCell ref="A44:I44"/>
  </mergeCells>
  <conditionalFormatting sqref="F6:F36">
    <cfRule type="cellIs" priority="2" operator="greaterThanOrEqual" aboveAverage="0" equalAverage="0" bottom="0" percent="0" rank="0" text="" dxfId="0">
      <formula>1</formula>
    </cfRule>
    <cfRule type="cellIs" priority="3" operator="between" aboveAverage="0" equalAverage="0" bottom="0" percent="0" rank="0" text="" dxfId="1">
      <formula>0.8</formula>
      <formula>0.9999</formula>
    </cfRule>
    <cfRule type="cellIs" priority="4" operator="lessThan" aboveAverage="0" equalAverage="0" bottom="0" percent="0" rank="0" text="" dxfId="2">
      <formula>0.8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2026-07-24T06:32:32Z</dcterms:created>
  <dc:creator>openpyxl</dc:creator>
  <dc:description/>
  <dc:language>en-US</dc:language>
  <cp:lastModifiedBy/>
  <dcterms:modified xsi:type="dcterms:W3CDTF">2026-07-24T06:32:32Z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