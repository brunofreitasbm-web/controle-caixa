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ompanhamento de Bonificação c" sheetId="1" r:id="rId5"/>
  </sheets>
  <definedNames/>
  <calcPr/>
</workbook>
</file>

<file path=xl/sharedStrings.xml><?xml version="1.0" encoding="utf-8"?>
<sst xmlns="http://schemas.openxmlformats.org/spreadsheetml/2006/main" count="79" uniqueCount="26">
  <si>
    <t>Dia</t>
  </si>
  <si>
    <t>Dia da Semana</t>
  </si>
  <si>
    <t>Colaboradora</t>
  </si>
  <si>
    <t>Vendas 30 min (Qtd)</t>
  </si>
  <si>
    <t>Vendas 1h (Qtd)</t>
  </si>
  <si>
    <t>Vendas 2h (Qtd)</t>
  </si>
  <si>
    <t>Total Atendimentos</t>
  </si>
  <si>
    <t>% Conversão Planos Longos</t>
  </si>
  <si>
    <t>Pix Guardião FDS</t>
  </si>
  <si>
    <t>Quarta-feira</t>
  </si>
  <si>
    <t>Alessandra</t>
  </si>
  <si>
    <t>RESUMO DE PREMIAÇÃO (FIM DO MÊS)</t>
  </si>
  <si>
    <t>R$</t>
  </si>
  <si>
    <t>Quinta-feira</t>
  </si>
  <si>
    <t>Alice</t>
  </si>
  <si>
    <t>Taxa de Conversão Mensal Alcançada:</t>
  </si>
  <si>
    <t>Sexta-feira</t>
  </si>
  <si>
    <t>Bônus Ouro (Mín. 50% de Conversão):</t>
  </si>
  <si>
    <t>Sábado</t>
  </si>
  <si>
    <t>Bônus Diamante (Mín. 60% de Conversão):</t>
  </si>
  <si>
    <t>Domingo</t>
  </si>
  <si>
    <t>Bônus Fim de Semana (Pix Guardião):</t>
  </si>
  <si>
    <t>Segunda-feira</t>
  </si>
  <si>
    <t>TOTAL ESTIMADO NO MÊS (PIX + BÔNUS):</t>
  </si>
  <si>
    <t>Terça-feira</t>
  </si>
  <si>
    <t>TOTAL MENSAL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</si>
</sst>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  <font>
      <sz val="13.0"/>
      <color rgb="FF1F1F1F"/>
      <name val="&quot;Google Sans Mono&quot;"/>
    </font>
    <font>
      <b/>
      <sz val="14.0"/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0F4F9"/>
        <bgColor rgb="FFF0F4F9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1" numFmtId="9" xfId="0" applyAlignment="1" applyFill="1" applyFont="1" applyNumberForma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164" xfId="0" applyAlignment="1" applyFont="1" applyNumberFormat="1">
      <alignment shrinkToFit="0" vertical="center" wrapText="0"/>
    </xf>
    <xf borderId="0" fillId="3" fontId="3" numFmtId="0" xfId="0" applyAlignment="1" applyFill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4" fontId="4" numFmtId="0" xfId="0" applyAlignment="1" applyFill="1" applyFont="1">
      <alignment readingOrder="0" shrinkToFit="0" vertical="center" wrapText="0"/>
    </xf>
    <xf borderId="0" fillId="4" fontId="4" numFmtId="0" xfId="0" applyAlignment="1" applyFont="1">
      <alignment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9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</dxfs>
  <tableStyles count="2">
    <tableStyle count="5" pivot="0" name="Acompanhamento de Bonificação c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Acompanhamento de Bonificação c-style 2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I33" displayName="Acompanhamento_de_META_1" name="Acompanhamento_de_META_1" id="1">
  <tableColumns count="9">
    <tableColumn name="Dia" id="1"/>
    <tableColumn totalsRowLabel="TOTAL MENSAL" name="Dia da Semana" id="2"/>
    <tableColumn name="Colaboradora" id="3"/>
    <tableColumn totalsRowFunction="custom" name="Vendas 30 min (Qtd)" id="4"/>
    <tableColumn totalsRowFunction="custom" name="Vendas 1h (Qtd)" id="5"/>
    <tableColumn totalsRowFunction="custom" name="Vendas 2h (Qtd)" id="6"/>
    <tableColumn totalsRowFunction="custom" name="Total Atendimentos" id="7"/>
    <tableColumn totalsRowFunction="custom" name="% Conversão Planos Longos" id="8"/>
    <tableColumn totalsRowFunction="custom" name="Pix Guardião FDS" id="9"/>
  </tableColumns>
  <tableStyleInfo name="Acompanhamento de Bonificação c-style" showColumnStripes="0" showFirstColumn="1" showLastColumn="1" showRowStripes="1"/>
</table>
</file>

<file path=xl/tables/table2.xml><?xml version="1.0" encoding="utf-8"?>
<table xmlns="http://schemas.openxmlformats.org/spreadsheetml/2006/main" ref="K2:L7" displayName="Tabela_2" name="Tabela_2" id="2">
  <tableColumns count="2">
    <tableColumn name="RESUMO DE PREMIAÇÃO (FIM DO MÊS)" id="1"/>
    <tableColumn name="R$" id="2"/>
  </tableColumns>
  <tableStyleInfo name="Acompanhamento de Bonificação c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6.0"/>
    <col customWidth="1" min="3" max="3" width="18.75"/>
    <col customWidth="1" min="4" max="6" width="14.13"/>
    <col customWidth="1" min="7" max="7" width="8.63"/>
    <col customWidth="1" min="8" max="8" width="10.63"/>
    <col customWidth="1" min="9" max="9" width="14.25"/>
    <col customWidth="1" min="11" max="11" width="44.25"/>
    <col customWidth="1" min="12" max="12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2" t="s">
        <v>9</v>
      </c>
      <c r="C2" s="3" t="s">
        <v>10</v>
      </c>
      <c r="D2" s="4">
        <v>15.0</v>
      </c>
      <c r="E2" s="4">
        <v>5.0</v>
      </c>
      <c r="F2" s="4">
        <v>2.0</v>
      </c>
      <c r="G2" s="5">
        <f t="shared" ref="G2:G33" si="1">SUM(D2:F2)</f>
        <v>22</v>
      </c>
      <c r="H2" s="6">
        <f t="shared" ref="H2:H33" si="2">IF(G2&gt;0,(E2+F2)/G2,0)</f>
        <v>0.3181818182</v>
      </c>
      <c r="I2" s="7">
        <f t="shared" ref="I2:I32" si="3">IF(AND(OR(B2="Sexta-feira", B2="Sábado", B2="Domingo"), F2&gt;=5), 20, 0)
</f>
        <v>0</v>
      </c>
      <c r="K2" s="8" t="s">
        <v>11</v>
      </c>
      <c r="L2" s="9" t="s">
        <v>12</v>
      </c>
    </row>
    <row r="3" ht="22.5" customHeight="1">
      <c r="A3" s="2">
        <v>2.0</v>
      </c>
      <c r="B3" s="2" t="s">
        <v>13</v>
      </c>
      <c r="C3" s="3" t="s">
        <v>14</v>
      </c>
      <c r="D3" s="4">
        <v>16.0</v>
      </c>
      <c r="E3" s="4">
        <v>4.0</v>
      </c>
      <c r="F3" s="4">
        <v>0.0</v>
      </c>
      <c r="G3" s="5">
        <f t="shared" si="1"/>
        <v>20</v>
      </c>
      <c r="H3" s="6">
        <f t="shared" si="2"/>
        <v>0.2</v>
      </c>
      <c r="I3" s="7">
        <f t="shared" si="3"/>
        <v>0</v>
      </c>
      <c r="K3" s="10" t="s">
        <v>15</v>
      </c>
      <c r="L3" s="11">
        <f>H33</f>
        <v>0.3552123552</v>
      </c>
    </row>
    <row r="4" ht="22.5" customHeight="1">
      <c r="A4" s="2">
        <v>3.0</v>
      </c>
      <c r="B4" s="12" t="s">
        <v>16</v>
      </c>
      <c r="C4" s="13" t="s">
        <v>10</v>
      </c>
      <c r="D4" s="14">
        <v>19.0</v>
      </c>
      <c r="E4" s="14">
        <v>7.0</v>
      </c>
      <c r="F4" s="14">
        <v>0.0</v>
      </c>
      <c r="G4" s="15">
        <f t="shared" si="1"/>
        <v>26</v>
      </c>
      <c r="H4" s="11">
        <f t="shared" si="2"/>
        <v>0.2692307692</v>
      </c>
      <c r="I4" s="16">
        <f t="shared" si="3"/>
        <v>0</v>
      </c>
      <c r="K4" s="10" t="s">
        <v>17</v>
      </c>
      <c r="L4" s="17">
        <f>IF(H33&gt;=50%, 100, 0)</f>
        <v>0</v>
      </c>
    </row>
    <row r="5" ht="22.5" customHeight="1">
      <c r="A5" s="2">
        <v>4.0</v>
      </c>
      <c r="B5" s="12" t="s">
        <v>18</v>
      </c>
      <c r="C5" s="13" t="s">
        <v>14</v>
      </c>
      <c r="D5" s="14">
        <v>19.0</v>
      </c>
      <c r="E5" s="14">
        <v>16.0</v>
      </c>
      <c r="F5" s="14">
        <v>1.0</v>
      </c>
      <c r="G5" s="15">
        <f t="shared" si="1"/>
        <v>36</v>
      </c>
      <c r="H5" s="11">
        <f t="shared" si="2"/>
        <v>0.4722222222</v>
      </c>
      <c r="I5" s="16">
        <f t="shared" si="3"/>
        <v>0</v>
      </c>
      <c r="K5" s="10" t="s">
        <v>19</v>
      </c>
      <c r="L5" s="17">
        <f>IF(H33&gt;=60%, 150, 0)</f>
        <v>0</v>
      </c>
    </row>
    <row r="6" ht="22.5" customHeight="1">
      <c r="A6" s="2">
        <v>5.0</v>
      </c>
      <c r="B6" s="12" t="s">
        <v>20</v>
      </c>
      <c r="C6" s="13" t="s">
        <v>10</v>
      </c>
      <c r="D6" s="14">
        <v>2.0</v>
      </c>
      <c r="E6" s="14">
        <v>0.0</v>
      </c>
      <c r="F6" s="14">
        <v>0.0</v>
      </c>
      <c r="G6" s="15">
        <f t="shared" si="1"/>
        <v>2</v>
      </c>
      <c r="H6" s="11">
        <f t="shared" si="2"/>
        <v>0</v>
      </c>
      <c r="I6" s="16">
        <f t="shared" si="3"/>
        <v>0</v>
      </c>
      <c r="K6" s="10" t="s">
        <v>21</v>
      </c>
      <c r="L6" s="18">
        <f>I33</f>
        <v>0</v>
      </c>
    </row>
    <row r="7" ht="22.5" customHeight="1">
      <c r="A7" s="2">
        <v>6.0</v>
      </c>
      <c r="B7" s="2" t="s">
        <v>22</v>
      </c>
      <c r="C7" s="3" t="s">
        <v>14</v>
      </c>
      <c r="D7" s="4">
        <v>25.0</v>
      </c>
      <c r="E7" s="4">
        <v>6.0</v>
      </c>
      <c r="F7" s="4">
        <v>0.0</v>
      </c>
      <c r="G7" s="5">
        <f t="shared" si="1"/>
        <v>31</v>
      </c>
      <c r="H7" s="6">
        <f t="shared" si="2"/>
        <v>0.1935483871</v>
      </c>
      <c r="I7" s="7">
        <f t="shared" si="3"/>
        <v>0</v>
      </c>
      <c r="K7" s="19" t="s">
        <v>23</v>
      </c>
      <c r="L7" s="20">
        <f>IF(H33&gt;=0.6,150,IF(H33&gt;=0.5,100,0)) + I33</f>
        <v>0</v>
      </c>
    </row>
    <row r="8" ht="22.5" customHeight="1">
      <c r="A8" s="2">
        <v>7.0</v>
      </c>
      <c r="B8" s="2" t="s">
        <v>24</v>
      </c>
      <c r="C8" s="3" t="s">
        <v>10</v>
      </c>
      <c r="D8" s="4">
        <v>12.0</v>
      </c>
      <c r="E8" s="4">
        <v>4.0</v>
      </c>
      <c r="F8" s="4">
        <v>0.0</v>
      </c>
      <c r="G8" s="5">
        <f t="shared" si="1"/>
        <v>16</v>
      </c>
      <c r="H8" s="6">
        <f t="shared" si="2"/>
        <v>0.25</v>
      </c>
      <c r="I8" s="7">
        <f t="shared" si="3"/>
        <v>0</v>
      </c>
    </row>
    <row r="9" ht="22.5" customHeight="1">
      <c r="A9" s="2">
        <v>8.0</v>
      </c>
      <c r="B9" s="2" t="s">
        <v>9</v>
      </c>
      <c r="C9" s="3" t="s">
        <v>14</v>
      </c>
      <c r="D9" s="4">
        <v>12.0</v>
      </c>
      <c r="E9" s="4">
        <v>11.0</v>
      </c>
      <c r="F9" s="4">
        <v>1.0</v>
      </c>
      <c r="G9" s="5">
        <f t="shared" si="1"/>
        <v>24</v>
      </c>
      <c r="H9" s="6">
        <f t="shared" si="2"/>
        <v>0.5</v>
      </c>
      <c r="I9" s="7">
        <f t="shared" si="3"/>
        <v>0</v>
      </c>
    </row>
    <row r="10" ht="22.5" customHeight="1">
      <c r="A10" s="2">
        <v>9.0</v>
      </c>
      <c r="B10" s="2" t="s">
        <v>13</v>
      </c>
      <c r="C10" s="3" t="s">
        <v>10</v>
      </c>
      <c r="D10" s="4">
        <v>18.0</v>
      </c>
      <c r="E10" s="4">
        <v>13.0</v>
      </c>
      <c r="F10" s="4">
        <v>0.0</v>
      </c>
      <c r="G10" s="5">
        <f t="shared" si="1"/>
        <v>31</v>
      </c>
      <c r="H10" s="6">
        <f t="shared" si="2"/>
        <v>0.4193548387</v>
      </c>
      <c r="I10" s="7">
        <f t="shared" si="3"/>
        <v>0</v>
      </c>
    </row>
    <row r="11" ht="22.5" customHeight="1">
      <c r="A11" s="2">
        <v>10.0</v>
      </c>
      <c r="B11" s="12" t="s">
        <v>16</v>
      </c>
      <c r="C11" s="13" t="s">
        <v>14</v>
      </c>
      <c r="D11" s="14">
        <v>17.0</v>
      </c>
      <c r="E11" s="14">
        <v>10.0</v>
      </c>
      <c r="F11" s="14">
        <v>2.0</v>
      </c>
      <c r="G11" s="15">
        <f t="shared" si="1"/>
        <v>29</v>
      </c>
      <c r="H11" s="11">
        <f t="shared" si="2"/>
        <v>0.4137931034</v>
      </c>
      <c r="I11" s="16">
        <f t="shared" si="3"/>
        <v>0</v>
      </c>
    </row>
    <row r="12" ht="22.5" customHeight="1">
      <c r="A12" s="2">
        <v>11.0</v>
      </c>
      <c r="B12" s="12" t="s">
        <v>18</v>
      </c>
      <c r="C12" s="13" t="s">
        <v>10</v>
      </c>
      <c r="D12" s="14">
        <v>27.0</v>
      </c>
      <c r="E12" s="14">
        <v>11.0</v>
      </c>
      <c r="F12" s="14">
        <v>0.0</v>
      </c>
      <c r="G12" s="15">
        <f t="shared" si="1"/>
        <v>38</v>
      </c>
      <c r="H12" s="11">
        <f t="shared" si="2"/>
        <v>0.2894736842</v>
      </c>
      <c r="I12" s="16">
        <f t="shared" si="3"/>
        <v>0</v>
      </c>
    </row>
    <row r="13" ht="22.5" customHeight="1">
      <c r="A13" s="2">
        <v>12.0</v>
      </c>
      <c r="B13" s="12" t="s">
        <v>20</v>
      </c>
      <c r="C13" s="13" t="s">
        <v>14</v>
      </c>
      <c r="D13" s="14">
        <v>23.0</v>
      </c>
      <c r="E13" s="14">
        <v>8.0</v>
      </c>
      <c r="F13" s="14">
        <v>0.0</v>
      </c>
      <c r="G13" s="15">
        <f t="shared" si="1"/>
        <v>31</v>
      </c>
      <c r="H13" s="11">
        <f t="shared" si="2"/>
        <v>0.2580645161</v>
      </c>
      <c r="I13" s="16">
        <f t="shared" si="3"/>
        <v>0</v>
      </c>
    </row>
    <row r="14" ht="22.5" customHeight="1">
      <c r="A14" s="2">
        <v>13.0</v>
      </c>
      <c r="B14" s="2" t="s">
        <v>22</v>
      </c>
      <c r="C14" s="3" t="s">
        <v>10</v>
      </c>
      <c r="D14" s="4">
        <v>9.0</v>
      </c>
      <c r="E14" s="4">
        <v>9.0</v>
      </c>
      <c r="F14" s="4">
        <v>0.0</v>
      </c>
      <c r="G14" s="5">
        <f t="shared" si="1"/>
        <v>18</v>
      </c>
      <c r="H14" s="6">
        <f t="shared" si="2"/>
        <v>0.5</v>
      </c>
      <c r="I14" s="7">
        <f t="shared" si="3"/>
        <v>0</v>
      </c>
    </row>
    <row r="15" ht="22.5" customHeight="1">
      <c r="A15" s="2">
        <v>14.0</v>
      </c>
      <c r="B15" s="2" t="s">
        <v>24</v>
      </c>
      <c r="C15" s="3" t="s">
        <v>14</v>
      </c>
      <c r="D15" s="4">
        <v>14.0</v>
      </c>
      <c r="E15" s="4">
        <v>8.0</v>
      </c>
      <c r="F15" s="4">
        <v>0.0</v>
      </c>
      <c r="G15" s="5">
        <f t="shared" si="1"/>
        <v>22</v>
      </c>
      <c r="H15" s="6">
        <f t="shared" si="2"/>
        <v>0.3636363636</v>
      </c>
      <c r="I15" s="7">
        <f t="shared" si="3"/>
        <v>0</v>
      </c>
    </row>
    <row r="16" ht="22.5" customHeight="1">
      <c r="A16" s="2">
        <v>15.0</v>
      </c>
      <c r="B16" s="2" t="s">
        <v>9</v>
      </c>
      <c r="C16" s="3" t="s">
        <v>10</v>
      </c>
      <c r="D16" s="4">
        <v>21.0</v>
      </c>
      <c r="E16" s="4">
        <v>8.0</v>
      </c>
      <c r="F16" s="4">
        <v>0.0</v>
      </c>
      <c r="G16" s="5">
        <f t="shared" si="1"/>
        <v>29</v>
      </c>
      <c r="H16" s="6">
        <f t="shared" si="2"/>
        <v>0.275862069</v>
      </c>
      <c r="I16" s="7">
        <f t="shared" si="3"/>
        <v>0</v>
      </c>
    </row>
    <row r="17" ht="22.5" customHeight="1">
      <c r="A17" s="2">
        <v>16.0</v>
      </c>
      <c r="B17" s="2" t="s">
        <v>13</v>
      </c>
      <c r="C17" s="3" t="s">
        <v>14</v>
      </c>
      <c r="D17" s="4">
        <v>16.0</v>
      </c>
      <c r="E17" s="4">
        <v>5.0</v>
      </c>
      <c r="F17" s="4">
        <v>2.0</v>
      </c>
      <c r="G17" s="5">
        <f t="shared" si="1"/>
        <v>23</v>
      </c>
      <c r="H17" s="6">
        <f t="shared" si="2"/>
        <v>0.3043478261</v>
      </c>
      <c r="I17" s="7">
        <f t="shared" si="3"/>
        <v>0</v>
      </c>
    </row>
    <row r="18" ht="22.5" customHeight="1">
      <c r="A18" s="2">
        <v>17.0</v>
      </c>
      <c r="B18" s="12" t="s">
        <v>16</v>
      </c>
      <c r="C18" s="13" t="s">
        <v>10</v>
      </c>
      <c r="D18" s="14">
        <v>12.0</v>
      </c>
      <c r="E18" s="14">
        <v>7.0</v>
      </c>
      <c r="F18" s="21">
        <v>2.0</v>
      </c>
      <c r="G18" s="15">
        <f t="shared" si="1"/>
        <v>21</v>
      </c>
      <c r="H18" s="11">
        <f t="shared" si="2"/>
        <v>0.4285714286</v>
      </c>
      <c r="I18" s="16">
        <f t="shared" si="3"/>
        <v>0</v>
      </c>
    </row>
    <row r="19" ht="22.5" customHeight="1">
      <c r="A19" s="2">
        <v>18.0</v>
      </c>
      <c r="B19" s="12" t="s">
        <v>18</v>
      </c>
      <c r="C19" s="13" t="s">
        <v>14</v>
      </c>
      <c r="D19" s="14">
        <v>19.0</v>
      </c>
      <c r="E19" s="14">
        <v>11.0</v>
      </c>
      <c r="F19" s="14">
        <v>3.0</v>
      </c>
      <c r="G19" s="15">
        <f t="shared" si="1"/>
        <v>33</v>
      </c>
      <c r="H19" s="11">
        <f t="shared" si="2"/>
        <v>0.4242424242</v>
      </c>
      <c r="I19" s="16">
        <f t="shared" si="3"/>
        <v>0</v>
      </c>
    </row>
    <row r="20" ht="22.5" customHeight="1">
      <c r="A20" s="2">
        <v>19.0</v>
      </c>
      <c r="B20" s="12" t="s">
        <v>20</v>
      </c>
      <c r="C20" s="13" t="s">
        <v>10</v>
      </c>
      <c r="D20" s="14">
        <v>9.0</v>
      </c>
      <c r="E20" s="14">
        <v>11.0</v>
      </c>
      <c r="F20" s="14">
        <v>0.0</v>
      </c>
      <c r="G20" s="15">
        <f t="shared" si="1"/>
        <v>20</v>
      </c>
      <c r="H20" s="11">
        <f t="shared" si="2"/>
        <v>0.55</v>
      </c>
      <c r="I20" s="16">
        <f t="shared" si="3"/>
        <v>0</v>
      </c>
    </row>
    <row r="21" ht="22.5" customHeight="1">
      <c r="A21" s="2">
        <v>20.0</v>
      </c>
      <c r="B21" s="2" t="s">
        <v>22</v>
      </c>
      <c r="C21" s="3" t="s">
        <v>14</v>
      </c>
      <c r="D21" s="4">
        <v>6.0</v>
      </c>
      <c r="E21" s="4">
        <v>3.0</v>
      </c>
      <c r="F21" s="4">
        <v>0.0</v>
      </c>
      <c r="G21" s="5">
        <f t="shared" si="1"/>
        <v>9</v>
      </c>
      <c r="H21" s="6">
        <f t="shared" si="2"/>
        <v>0.3333333333</v>
      </c>
      <c r="I21" s="7">
        <f t="shared" si="3"/>
        <v>0</v>
      </c>
    </row>
    <row r="22" ht="22.5" customHeight="1">
      <c r="A22" s="2">
        <v>21.0</v>
      </c>
      <c r="B22" s="2" t="s">
        <v>24</v>
      </c>
      <c r="C22" s="3" t="s">
        <v>10</v>
      </c>
      <c r="D22" s="4">
        <v>11.0</v>
      </c>
      <c r="E22" s="4">
        <v>10.0</v>
      </c>
      <c r="F22" s="4">
        <v>0.0</v>
      </c>
      <c r="G22" s="5">
        <f t="shared" si="1"/>
        <v>21</v>
      </c>
      <c r="H22" s="6">
        <f t="shared" si="2"/>
        <v>0.4761904762</v>
      </c>
      <c r="I22" s="7">
        <f t="shared" si="3"/>
        <v>0</v>
      </c>
    </row>
    <row r="23" ht="22.5" customHeight="1">
      <c r="A23" s="2">
        <v>22.0</v>
      </c>
      <c r="B23" s="2" t="s">
        <v>9</v>
      </c>
      <c r="C23" s="3" t="s">
        <v>14</v>
      </c>
      <c r="D23" s="4">
        <v>12.0</v>
      </c>
      <c r="E23" s="4">
        <v>3.0</v>
      </c>
      <c r="F23" s="4">
        <v>1.0</v>
      </c>
      <c r="G23" s="5">
        <f t="shared" si="1"/>
        <v>16</v>
      </c>
      <c r="H23" s="6">
        <f t="shared" si="2"/>
        <v>0.25</v>
      </c>
      <c r="I23" s="7">
        <f t="shared" si="3"/>
        <v>0</v>
      </c>
    </row>
    <row r="24" ht="22.5" customHeight="1">
      <c r="A24" s="2">
        <v>23.0</v>
      </c>
      <c r="B24" s="2" t="s">
        <v>13</v>
      </c>
      <c r="C24" s="3" t="s">
        <v>10</v>
      </c>
      <c r="D24" s="22"/>
      <c r="E24" s="22"/>
      <c r="F24" s="4"/>
      <c r="G24" s="5">
        <f t="shared" si="1"/>
        <v>0</v>
      </c>
      <c r="H24" s="6">
        <f t="shared" si="2"/>
        <v>0</v>
      </c>
      <c r="I24" s="7">
        <f t="shared" si="3"/>
        <v>0</v>
      </c>
    </row>
    <row r="25" ht="22.5" customHeight="1">
      <c r="A25" s="2">
        <v>24.0</v>
      </c>
      <c r="B25" s="12" t="s">
        <v>16</v>
      </c>
      <c r="C25" s="13" t="s">
        <v>14</v>
      </c>
      <c r="D25" s="23"/>
      <c r="E25" s="23"/>
      <c r="F25" s="14"/>
      <c r="G25" s="15">
        <f t="shared" si="1"/>
        <v>0</v>
      </c>
      <c r="H25" s="11">
        <f t="shared" si="2"/>
        <v>0</v>
      </c>
      <c r="I25" s="16">
        <f t="shared" si="3"/>
        <v>0</v>
      </c>
    </row>
    <row r="26" ht="22.5" customHeight="1">
      <c r="A26" s="2">
        <v>25.0</v>
      </c>
      <c r="B26" s="12" t="s">
        <v>18</v>
      </c>
      <c r="C26" s="13" t="s">
        <v>10</v>
      </c>
      <c r="D26" s="23"/>
      <c r="E26" s="23"/>
      <c r="F26" s="14"/>
      <c r="G26" s="15">
        <f t="shared" si="1"/>
        <v>0</v>
      </c>
      <c r="H26" s="11">
        <f t="shared" si="2"/>
        <v>0</v>
      </c>
      <c r="I26" s="16">
        <f t="shared" si="3"/>
        <v>0</v>
      </c>
    </row>
    <row r="27" ht="22.5" customHeight="1">
      <c r="A27" s="2">
        <v>26.0</v>
      </c>
      <c r="B27" s="12" t="s">
        <v>20</v>
      </c>
      <c r="C27" s="13" t="s">
        <v>14</v>
      </c>
      <c r="D27" s="23"/>
      <c r="E27" s="23"/>
      <c r="F27" s="14"/>
      <c r="G27" s="15">
        <f t="shared" si="1"/>
        <v>0</v>
      </c>
      <c r="H27" s="11">
        <f t="shared" si="2"/>
        <v>0</v>
      </c>
      <c r="I27" s="16">
        <f t="shared" si="3"/>
        <v>0</v>
      </c>
    </row>
    <row r="28" ht="22.5" customHeight="1">
      <c r="A28" s="2">
        <v>27.0</v>
      </c>
      <c r="B28" s="2" t="s">
        <v>22</v>
      </c>
      <c r="C28" s="3" t="s">
        <v>10</v>
      </c>
      <c r="D28" s="22"/>
      <c r="E28" s="22"/>
      <c r="F28" s="4"/>
      <c r="G28" s="5">
        <f t="shared" si="1"/>
        <v>0</v>
      </c>
      <c r="H28" s="6">
        <f t="shared" si="2"/>
        <v>0</v>
      </c>
      <c r="I28" s="7">
        <f t="shared" si="3"/>
        <v>0</v>
      </c>
    </row>
    <row r="29" ht="22.5" customHeight="1">
      <c r="A29" s="2">
        <v>28.0</v>
      </c>
      <c r="B29" s="2" t="s">
        <v>24</v>
      </c>
      <c r="C29" s="3" t="s">
        <v>14</v>
      </c>
      <c r="D29" s="22"/>
      <c r="E29" s="22"/>
      <c r="F29" s="4"/>
      <c r="G29" s="5">
        <f t="shared" si="1"/>
        <v>0</v>
      </c>
      <c r="H29" s="6">
        <f t="shared" si="2"/>
        <v>0</v>
      </c>
      <c r="I29" s="7">
        <f t="shared" si="3"/>
        <v>0</v>
      </c>
    </row>
    <row r="30" ht="22.5" customHeight="1">
      <c r="A30" s="2">
        <v>29.0</v>
      </c>
      <c r="B30" s="2" t="s">
        <v>9</v>
      </c>
      <c r="C30" s="3" t="s">
        <v>10</v>
      </c>
      <c r="D30" s="22"/>
      <c r="E30" s="22"/>
      <c r="F30" s="4"/>
      <c r="G30" s="5">
        <f t="shared" si="1"/>
        <v>0</v>
      </c>
      <c r="H30" s="6">
        <f t="shared" si="2"/>
        <v>0</v>
      </c>
      <c r="I30" s="7">
        <f t="shared" si="3"/>
        <v>0</v>
      </c>
    </row>
    <row r="31" ht="22.5" customHeight="1">
      <c r="A31" s="2">
        <v>30.0</v>
      </c>
      <c r="B31" s="2" t="s">
        <v>13</v>
      </c>
      <c r="C31" s="3" t="s">
        <v>14</v>
      </c>
      <c r="D31" s="22"/>
      <c r="E31" s="22"/>
      <c r="F31" s="4"/>
      <c r="G31" s="5">
        <f t="shared" si="1"/>
        <v>0</v>
      </c>
      <c r="H31" s="6">
        <f t="shared" si="2"/>
        <v>0</v>
      </c>
      <c r="I31" s="7">
        <f t="shared" si="3"/>
        <v>0</v>
      </c>
    </row>
    <row r="32" ht="22.5" customHeight="1">
      <c r="A32" s="2">
        <v>31.0</v>
      </c>
      <c r="B32" s="12" t="s">
        <v>16</v>
      </c>
      <c r="C32" s="13" t="s">
        <v>10</v>
      </c>
      <c r="D32" s="23"/>
      <c r="E32" s="23"/>
      <c r="F32" s="14"/>
      <c r="G32" s="15">
        <f t="shared" si="1"/>
        <v>0</v>
      </c>
      <c r="H32" s="11">
        <f t="shared" si="2"/>
        <v>0</v>
      </c>
      <c r="I32" s="16">
        <f t="shared" si="3"/>
        <v>0</v>
      </c>
    </row>
    <row r="33" ht="22.5" customHeight="1">
      <c r="B33" s="24" t="s">
        <v>25</v>
      </c>
      <c r="C33" s="25"/>
      <c r="D33" s="25">
        <f>SUM(D2:D32)</f>
        <v>334</v>
      </c>
      <c r="E33" s="25">
        <f>sum(E2:E32)</f>
        <v>170</v>
      </c>
      <c r="F33" s="25">
        <f>SUM(F2:F32)</f>
        <v>14</v>
      </c>
      <c r="G33" s="25">
        <f t="shared" si="1"/>
        <v>518</v>
      </c>
      <c r="H33" s="26">
        <f t="shared" si="2"/>
        <v>0.3552123552</v>
      </c>
      <c r="I33" s="27">
        <f>SUM(Acompanhamento_de_META_1[Pix Guardião FDS])</f>
        <v>0</v>
      </c>
    </row>
  </sheetData>
  <conditionalFormatting sqref="H2:H32 L3">
    <cfRule type="cellIs" dxfId="6" priority="1" operator="lessThan">
      <formula>"50%"</formula>
    </cfRule>
  </conditionalFormatting>
  <conditionalFormatting sqref="H2:H32 L3">
    <cfRule type="cellIs" dxfId="7" priority="2" operator="greaterThanOrEqual">
      <formula>"50%"</formula>
    </cfRule>
  </conditionalFormatting>
  <dataValidations>
    <dataValidation type="list" allowBlank="1" sqref="C2:C32">
      <formula1>"Alice,Alessandra"</formula1>
    </dataValidation>
    <dataValidation type="custom" allowBlank="1" showDropDown="1" sqref="H2:I32">
      <formula1>AND(ISNUMBER(H2),(NOT(OR(NOT(ISERROR(DATEVALUE(H2))), AND(ISNUMBER(H2), LEFT(CELL("format", H2))="D")))))</formula1>
    </dataValidation>
  </dataValidations>
  <drawing r:id="rId1"/>
  <tableParts count="2">
    <tablePart r:id="rId4"/>
    <tablePart r:id="rId5"/>
  </tableParts>
</worksheet>
</file>